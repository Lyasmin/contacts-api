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Sobre" sheetId="1" state="visible" r:id="rId3"/>
    <sheet name="Requisitos e Critérios" sheetId="2" state="visible" r:id="rId4"/>
    <sheet name="Casos de Teste" sheetId="3" state="visible" r:id="rId5"/>
    <sheet name="Matriz de Rastreabilidade" sheetId="4" state="visible" r:id="rId6"/>
    <sheet name="Resumo"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<sst xmlns="http://schemas.openxmlformats.org/spreadsheetml/2006/main" count="294" uniqueCount="198">
  <si>
    <t xml:space="preserve">Plano de Testes: Contacts API</t>
  </si>
  <si>
    <t xml:space="preserve">Testes Funcionais e de API em uma Aplicação Web Full Stack Hospedada em Nuvem</t>
  </si>
  <si>
    <t xml:space="preserve">Documento de apoio ao TCC.</t>
  </si>
  <si>
    <t xml:space="preserve">Última atualização: 7 de outubro de 2026</t>
  </si>
  <si>
    <t xml:space="preserve">Como usar este arquivo</t>
  </si>
  <si>
    <t xml:space="preserve">1. A aba "Requisitos e Critérios" lista o que o sistema deve fazer e como sabemos que cada requisito foi atendido.</t>
  </si>
  <si>
    <t xml:space="preserve">2. A aba "Casos de Teste" detalha cada teste executado (ou planejado), com passos, resultado esperado, resultado obtido e status.</t>
  </si>
  <si>
    <t xml:space="preserve">3. A aba "Matriz de Rastreabilidade" mostra quais casos de teste verificam cada requisito, calculada automaticamente a partir da aba "Casos de Teste".</t>
  </si>
  <si>
    <t xml:space="preserve">4. A aba "Resumo" traz métricas calculadas automaticamente a partir da aba de Casos de Teste (não editar as fórmulas).</t>
  </si>
  <si>
    <t xml:space="preserve">Convenção de status</t>
  </si>
  <si>
    <t xml:space="preserve">Aprovado: o teste foi executado e o resultado obtido corresponde ao esperado.</t>
  </si>
  <si>
    <t xml:space="preserve">Reprovado: o teste foi executado e um defeito real foi identificado (nenhum caso nesta versão).</t>
  </si>
  <si>
    <t xml:space="preserve">Não executado: o caso de teste está definido, mas ainda não foi executado formalmente.</t>
  </si>
  <si>
    <t xml:space="preserve">Princípio de integridade dos dados</t>
  </si>
  <si>
    <t xml:space="preserve">Nenhum resultado apresentado neste documento foi inventado. Casos ainda não executados estão explicitamente marcados como "Não executado", nunca preenchidos com um resultado fictício.</t>
  </si>
  <si>
    <t xml:space="preserve">ID</t>
  </si>
  <si>
    <t xml:space="preserve">Requisito</t>
  </si>
  <si>
    <t xml:space="preserve">Descrição</t>
  </si>
  <si>
    <t xml:space="preserve">Critérios de aceitação</t>
  </si>
  <si>
    <t xml:space="preserve">RF01</t>
  </si>
  <si>
    <t xml:space="preserve">Cadastro de contato</t>
  </si>
  <si>
    <t xml:space="preserve">O sistema deve permitir criar um novo contato com nome, e-mail, telefone e categoria.</t>
  </si>
  <si>
    <t xml:space="preserve">Campos nome, e-mail e telefone são obrigatórios; e-mail deve seguir um formato válido; categoria aceita apenas "personal" ou "work"; requisição válida retorna código 201 com o contato criado.</t>
  </si>
  <si>
    <t xml:space="preserve">RF02</t>
  </si>
  <si>
    <t xml:space="preserve">Listagem de contatos</t>
  </si>
  <si>
    <t xml:space="preserve">O sistema deve retornar todos os contatos cadastrados do usuário autenticado.</t>
  </si>
  <si>
    <t xml:space="preserve">Requisição autenticada retorna código 200 com a lista de contatos em formato JSON.</t>
  </si>
  <si>
    <t xml:space="preserve">RF03</t>
  </si>
  <si>
    <t xml:space="preserve">Edição de contato</t>
  </si>
  <si>
    <t xml:space="preserve">O sistema deve permitir atualizar os dados de um contato existente.</t>
  </si>
  <si>
    <t xml:space="preserve">As mesmas validações de RF01 se aplicam a edição; contato inexistente retorna código 404; edição válida retorna código 200 com os dados atualizados.</t>
  </si>
  <si>
    <t xml:space="preserve">RF04</t>
  </si>
  <si>
    <t xml:space="preserve">Exclusão de contato</t>
  </si>
  <si>
    <t xml:space="preserve">O sistema deve permitir excluir um contato existente.</t>
  </si>
  <si>
    <t xml:space="preserve">Exclusão válida retorna código 200 com mensagem de confirmação; excluir um contato já excluído (ou inexistente) retorna código 404.</t>
  </si>
  <si>
    <t xml:space="preserve">RF05</t>
  </si>
  <si>
    <t xml:space="preserve">Registro de usuário</t>
  </si>
  <si>
    <t xml:space="preserve">O sistema deve permitir criar uma conta de usuário com e-mail e senha.</t>
  </si>
  <si>
    <t xml:space="preserve">E-mail e senha são obrigatórios; e-mail deve ser único no sistema; a senha é armazenada apenas em formato criptografado (hash); registro válido retorna código 201.</t>
  </si>
  <si>
    <t xml:space="preserve">RF06</t>
  </si>
  <si>
    <t xml:space="preserve">Login</t>
  </si>
  <si>
    <t xml:space="preserve">O sistema deve autenticar um usuário existente e devolver um token de acesso.</t>
  </si>
  <si>
    <t xml:space="preserve">Credenciais válidas retornam código 200 com um token JWT válido por 1 hora; credenciais inválidas (e-mail inexistente ou senha incorreta) retornam a mesma mensagem genérica de erro, com código 401.</t>
  </si>
  <si>
    <t xml:space="preserve">RF07</t>
  </si>
  <si>
    <t xml:space="preserve">Proteção das rotas de contato</t>
  </si>
  <si>
    <t xml:space="preserve">As rotas de contato devem ser acessíveis apenas mediante token válido.</t>
  </si>
  <si>
    <t xml:space="preserve">Requisição sem token retorna código 401; requisição com token inválido ou expirado retorna código 403; requisição com token válido tem acesso normal.</t>
  </si>
  <si>
    <t xml:space="preserve">RF08</t>
  </si>
  <si>
    <t xml:space="preserve">Interface visual do sistema</t>
  </si>
  <si>
    <t xml:space="preserve">O sistema deve oferecer uma interface web para login e gerenciamento de contatos (criar, listar, editar, excluir).</t>
  </si>
  <si>
    <t xml:space="preserve">Todas as quatro operações de CRUD devem estar disponiveis e funcionais diretamente pela interface, sem necessidade de ferramentas externas.</t>
  </si>
  <si>
    <t xml:space="preserve">Tipo</t>
  </si>
  <si>
    <t xml:space="preserve">Título do caso</t>
  </si>
  <si>
    <t xml:space="preserve">Pré-condições</t>
  </si>
  <si>
    <t xml:space="preserve">Passos</t>
  </si>
  <si>
    <t xml:space="preserve">Resultado esperado</t>
  </si>
  <si>
    <t xml:space="preserve">Resultado obtido</t>
  </si>
  <si>
    <t xml:space="preserve">Status</t>
  </si>
  <si>
    <t xml:space="preserve">Evidência</t>
  </si>
  <si>
    <t xml:space="preserve">Data</t>
  </si>
  <si>
    <t xml:space="preserve">Automação</t>
  </si>
  <si>
    <t xml:space="preserve">TC-01</t>
  </si>
  <si>
    <t xml:space="preserve">API</t>
  </si>
  <si>
    <t xml:space="preserve">Criar contato com dados válidos</t>
  </si>
  <si>
    <t xml:space="preserve">Usuário autenticado (token válido)</t>
  </si>
  <si>
    <t xml:space="preserve">1. Enviar POST /contacts com name, email, phone e category válidos.</t>
  </si>
  <si>
    <t xml:space="preserve">Código 201; corpo da resposta contem o contato criado, incluindo _id, createdAt e updatedAt.</t>
  </si>
  <si>
    <t xml:space="preserve">Código 201 retornado; contato salvo corretamente no MongoDB Atlas.</t>
  </si>
  <si>
    <t xml:space="preserve">Aprovado</t>
  </si>
  <si>
    <t xml:space="preserve">Registro de Desenvolvimento, Figura 4</t>
  </si>
  <si>
    <t xml:space="preserve">31/08/2026</t>
  </si>
  <si>
    <t xml:space="preserve">Automatizado (Cypress) - cypress/e2e/contacts_api.cy.js</t>
  </si>
  <si>
    <t xml:space="preserve">TC-02</t>
  </si>
  <si>
    <t xml:space="preserve">Listar contatos existentes</t>
  </si>
  <si>
    <t xml:space="preserve">Usuário autenticado; ao menos um contato cadastrado</t>
  </si>
  <si>
    <t xml:space="preserve">1. Enviar GET /contacts.</t>
  </si>
  <si>
    <t xml:space="preserve">Código 200; corpo da resposta contem a lista de contatos do usuário.</t>
  </si>
  <si>
    <t xml:space="preserve">Código 200 retornado; lista de contatos exibida corretamente.</t>
  </si>
  <si>
    <t xml:space="preserve">Registro de Desenvolvimento, Figura 5</t>
  </si>
  <si>
    <t xml:space="preserve">Manual</t>
  </si>
  <si>
    <t xml:space="preserve">TC-03</t>
  </si>
  <si>
    <t xml:space="preserve">Editar contato existente com dados válidos</t>
  </si>
  <si>
    <t xml:space="preserve">Contato existente; usuário autenticado</t>
  </si>
  <si>
    <t xml:space="preserve">1. Enviar PUT /contacts/:id com um ou mais campos válidos a atualizar.</t>
  </si>
  <si>
    <t xml:space="preserve">Código 200; corpo da resposta contem o contato com os dados atualizados.</t>
  </si>
  <si>
    <t xml:space="preserve">Código 200 retornado após correção do identificador utilizado na URL; dados atualizados corretamente.</t>
  </si>
  <si>
    <t xml:space="preserve">Registro de Desenvolvimento, Seção Tarefa 6</t>
  </si>
  <si>
    <t xml:space="preserve">TC-04</t>
  </si>
  <si>
    <t xml:space="preserve">Excluir contato existente</t>
  </si>
  <si>
    <t xml:space="preserve">1. Enviar DELETE /contacts/:id de um contato existente.</t>
  </si>
  <si>
    <t xml:space="preserve">Código 200; mensagem de confirmação de exclusão.</t>
  </si>
  <si>
    <t xml:space="preserve">Código 200 retornado; contato removido do banco de dados.</t>
  </si>
  <si>
    <t xml:space="preserve">TC-05</t>
  </si>
  <si>
    <t xml:space="preserve">Excluir contato já excluído (teste negativo)</t>
  </si>
  <si>
    <t xml:space="preserve">Contato previamente excluído</t>
  </si>
  <si>
    <t xml:space="preserve">1. Repetir DELETE /contacts/:id utilizando o mesmo identificador de um contato já excluído.</t>
  </si>
  <si>
    <t xml:space="preserve">Código 404; mensagem informando que o contato não foi encontrado.</t>
  </si>
  <si>
    <t xml:space="preserve">Código 404 retornado corretamente, com a mensagem "Contact not found".</t>
  </si>
  <si>
    <t xml:space="preserve">Registro de Desenvolvimento, Figura 7</t>
  </si>
  <si>
    <t xml:space="preserve">TC-06</t>
  </si>
  <si>
    <t xml:space="preserve">Acessar rota de contatos sem token (teste negativo)</t>
  </si>
  <si>
    <t xml:space="preserve">Nenhum token informado na requisição</t>
  </si>
  <si>
    <t xml:space="preserve">1. Enviar GET /contacts sem o cabeçalho Authorization.</t>
  </si>
  <si>
    <t xml:space="preserve">Código 401; mensagem informando que o token de acesso é obrigatório.</t>
  </si>
  <si>
    <t xml:space="preserve">Código 401 retornado corretamente, com a mensagem "Access token is required".</t>
  </si>
  <si>
    <t xml:space="preserve">Registro de Desenvolvimento, Seção Tarefa 8</t>
  </si>
  <si>
    <t xml:space="preserve">01/09/2026</t>
  </si>
  <si>
    <t xml:space="preserve">Automatizado (Cypress) - cypress/e2e/contacts_negative.cy.js</t>
  </si>
  <si>
    <t xml:space="preserve">TC-07</t>
  </si>
  <si>
    <t xml:space="preserve">Acessar rota de contatos com token válido</t>
  </si>
  <si>
    <t xml:space="preserve">Token válido obtido via login</t>
  </si>
  <si>
    <t xml:space="preserve">1. Enviar GET /contacts com o cabeçalho Authorization: Bearer &lt;token válido&gt;.</t>
  </si>
  <si>
    <t xml:space="preserve">Código 200; lista de contatos retornada normalmente.</t>
  </si>
  <si>
    <t xml:space="preserve">Código 200 retornado; acesso restabelecido corretamente após anexar o token.</t>
  </si>
  <si>
    <t xml:space="preserve">Registro de Desenvolvimento, Figura 9</t>
  </si>
  <si>
    <t xml:space="preserve">TC-08</t>
  </si>
  <si>
    <t xml:space="preserve">Registrar usuário com e-mail já existente (teste negativo)</t>
  </si>
  <si>
    <t xml:space="preserve">Usuário com o mesmo e-mail já cadastrado</t>
  </si>
  <si>
    <t xml:space="preserve">1. Enviar POST /auth/register reutilizando um e-mail já cadastrado.</t>
  </si>
  <si>
    <t xml:space="preserve">Erro de duplicidade (código de erro do MongoDB refletido como falha na criação); usuário não deve ser duplicado.</t>
  </si>
  <si>
    <t xml:space="preserve">Código 400 retornado; erro de chave duplicada do MongoDB (E11000 duplicate key error, email_1 dup key). Observação: a mensagem retornada expoe o erro interno do banco de dados diretamente ao consumidor da API, em vez de uma mensagem de negócio amigável (ex.: "Email already registered"), registrado como ponto de melhoria a discutir no trabalho.</t>
  </si>
  <si>
    <t xml:space="preserve">Registro de Desenvolvimento, Seção QA</t>
  </si>
  <si>
    <t xml:space="preserve">07/09/2026</t>
  </si>
  <si>
    <t xml:space="preserve">TC-09</t>
  </si>
  <si>
    <t xml:space="preserve">Criar contato com e-mail em formato inválido (teste negativo)</t>
  </si>
  <si>
    <t xml:space="preserve">Usuário autenticado</t>
  </si>
  <si>
    <t xml:space="preserve">1. Enviar POST /contacts com um valor de email sem o formato básico (ex.: "emailinvalido").</t>
  </si>
  <si>
    <t xml:space="preserve">Código 400; mensagem de erro de validação do campo email.</t>
  </si>
  <si>
    <t xml:space="preserve">Código 400 retornado; mensagem "Contact validation failed: email: Invalid email format".</t>
  </si>
  <si>
    <t xml:space="preserve">TC-10</t>
  </si>
  <si>
    <t xml:space="preserve">Criar contato sem campo obrigatório (teste negativo)</t>
  </si>
  <si>
    <t xml:space="preserve">1. Enviar POST /contacts omitindo o campo name.</t>
  </si>
  <si>
    <t xml:space="preserve">Código 400; mensagem de erro informando que o nome é obrigatório.</t>
  </si>
  <si>
    <t xml:space="preserve">Código 400 retornado; mensagem "Contact validation failed: name: Name is required".</t>
  </si>
  <si>
    <t xml:space="preserve">TC-11</t>
  </si>
  <si>
    <t xml:space="preserve">Funcional (interface)</t>
  </si>
  <si>
    <t xml:space="preserve">Criar contato pelo formulário da interface</t>
  </si>
  <si>
    <t xml:space="preserve">Usuário logado na interface React</t>
  </si>
  <si>
    <t xml:space="preserve">1. Preencher o formulário com nome, e-mail, telefone e categoria. 2. Clicar em "Add contact".</t>
  </si>
  <si>
    <t xml:space="preserve">O novo contato aparece na lista, sem necessidade de recarregar a página.</t>
  </si>
  <si>
    <t xml:space="preserve">Contato "Third User" criado e exibido corretamente na lista após o envio.</t>
  </si>
  <si>
    <t xml:space="preserve">Registro de Desenvolvimento, Figuras 10 e 11</t>
  </si>
  <si>
    <t xml:space="preserve">03/09/2026</t>
  </si>
  <si>
    <t xml:space="preserve">TC-12</t>
  </si>
  <si>
    <t xml:space="preserve">Excluir contato pela interface, com confirmação</t>
  </si>
  <si>
    <t xml:space="preserve">Usuário logado; ao menos um contato na lista</t>
  </si>
  <si>
    <t xml:space="preserve">1. Clicar em "Delete" em um contato. 2. Confirmar a exclusão na caixa de diálogo do navegador.</t>
  </si>
  <si>
    <t xml:space="preserve">Caixa de confirmação exibida; após confirmar, o contato deixa de aparecer na lista.</t>
  </si>
  <si>
    <t xml:space="preserve">Caixa de confirmação exibida corretamente; exclusão confirmada pela autora. Observação: executado na primeira versão da interface; a versão atual exibe a confirmação no próprio cartão do contato.</t>
  </si>
  <si>
    <t xml:space="preserve">Registro de Desenvolvimento, Figura 12</t>
  </si>
  <si>
    <t xml:space="preserve">TC-13</t>
  </si>
  <si>
    <t xml:space="preserve">Editar contato pela interface</t>
  </si>
  <si>
    <t xml:space="preserve">Usuário logado; contato existente na lista</t>
  </si>
  <si>
    <t xml:space="preserve">1. Clicar em "Edit" em um contato. 2. Confirmar que o formulário aparece preenchido com os dados atuais. 3. Alterar um campo. 4. Clicar em "Save".</t>
  </si>
  <si>
    <t xml:space="preserve">Formulário preenchido automaticamente com os dados do contato; após salvar, a lista reflete o dado atualizado.</t>
  </si>
  <si>
    <t xml:space="preserve">Telefone do contato "First User" alterado de 10000000001 para 11000000001 com sucesso.</t>
  </si>
  <si>
    <t xml:space="preserve">Registro de Desenvolvimento, Figuras 13 e 14</t>
  </si>
  <si>
    <t xml:space="preserve">04/09/2026</t>
  </si>
  <si>
    <t xml:space="preserve">TC-14</t>
  </si>
  <si>
    <t xml:space="preserve">Login pela interface com credenciais válidas</t>
  </si>
  <si>
    <t xml:space="preserve">Usuário previamente registrado</t>
  </si>
  <si>
    <t xml:space="preserve">1. Preencher e-mail e senha corretos na tela de login. 2. Clicar em "Log in".</t>
  </si>
  <si>
    <t xml:space="preserve">Usuário é autenticado; tela de contatos é exibida.</t>
  </si>
  <si>
    <t xml:space="preserve">Login realizado com sucesso; lista de contatos exibida após autenticação.</t>
  </si>
  <si>
    <t xml:space="preserve">Registro de Desenvolvimento, Seção Tarefa 9</t>
  </si>
  <si>
    <t xml:space="preserve">02/09/2026</t>
  </si>
  <si>
    <t xml:space="preserve">Automatizado (Cypress) - cypress/e2e/login.cy.js</t>
  </si>
  <si>
    <t xml:space="preserve">TC-15</t>
  </si>
  <si>
    <t xml:space="preserve">Login pela interface com credenciais inválidas (teste negativo)</t>
  </si>
  <si>
    <t xml:space="preserve">Nenhum usuário com essas credenciais cadastrado, ou senha incorreta</t>
  </si>
  <si>
    <t xml:space="preserve">1. Preencher e-mail ou senha incorretos na tela de login. 2. Clicar em "Log in".</t>
  </si>
  <si>
    <t xml:space="preserve">Mensagem de erro exibida na tela, sem recarregar a página; usuário permanece na tela de login.</t>
  </si>
  <si>
    <t xml:space="preserve">Mensagem "Invalid email or password" exibida corretamente em vermelho, sem recarregamento da página.</t>
  </si>
  <si>
    <t xml:space="preserve">TC-16</t>
  </si>
  <si>
    <t xml:space="preserve">Acessar rota protegida com token inválido (proxy do teste de expiração)</t>
  </si>
  <si>
    <t xml:space="preserve">Token deliberadamente inválido informado no cabeçalho Authorization</t>
  </si>
  <si>
    <t xml:space="preserve">1. Enviar GET /contacts com um token inválido (ex.: "tokeninvalido123") no lugar de um token real.</t>
  </si>
  <si>
    <t xml:space="preserve">Código 403; mensagem informando token inválido ou expirado.</t>
  </si>
  <si>
    <t xml:space="preserve">Código 403 retornado corretamente, com a mensagem "Invalid or expired token". Observação: este teste validou o mesmo bloco de código (catch do jwt.verify) que também trata tokens expirados, pois ambos os casos compartilham o mesmo tratamento de erro. O cenário específico de expiração por decurso real de 1 hora ainda não foi executado de forma isolada.</t>
  </si>
  <si>
    <t xml:space="preserve">Aprovado (validação por equivalência de código)</t>
  </si>
  <si>
    <t xml:space="preserve">Caso de teste</t>
  </si>
  <si>
    <t xml:space="preserve">Execução</t>
  </si>
  <si>
    <t xml:space="preserve">Requisitos cobertos por pelo menos um caso de teste</t>
  </si>
  <si>
    <t xml:space="preserve">Como ler: cada requisito aparece com a lista dos casos de teste que o verificam, um por linha. Título, tipo, execução e status são buscados automaticamente na aba "Casos de Teste".</t>
  </si>
  <si>
    <t xml:space="preserve">Observação sobre o RF02: o TC-02 foi executado com um único usuário. A separação dos contatos entre usuários diferentes não foi verificada por nenhum caso do plano.</t>
  </si>
  <si>
    <t xml:space="preserve">O cenário complementar TC-17 (fluxo completo da API no ambiente de produção) foi automatizado após a execução do plano e não integra esta matriz.</t>
  </si>
  <si>
    <t xml:space="preserve">Resumo do Plano de Testes</t>
  </si>
  <si>
    <t xml:space="preserve">Calculado automaticamente a partir da aba "Casos de Teste"</t>
  </si>
  <si>
    <t xml:space="preserve">Total de casos de teste definidos</t>
  </si>
  <si>
    <t xml:space="preserve">Casos aprovados</t>
  </si>
  <si>
    <t xml:space="preserve">Casos reprovados</t>
  </si>
  <si>
    <t xml:space="preserve">Casos ainda não executados</t>
  </si>
  <si>
    <t xml:space="preserve">Taxa de aprovação entre os executados</t>
  </si>
  <si>
    <t xml:space="preserve">Percentual do plano já executado</t>
  </si>
  <si>
    <t xml:space="preserve">Nota</t>
  </si>
  <si>
    <t xml:space="preserve">Todos os 16 casos de teste planejados foram executados e aprovados. O caso TC-16 (token expirado) foi validado por equivalência de código, utilizando um token inválido para exercitar o mesmo bloco de tratamento de erro que trata tokens expirados, conforme detalhado na aba "Casos de Teste". Nenhum resultado foi presumido ou preenchido antecipadamente em nenhuma etapa deste plano, em conformidade com o principio de não invenção de dados adotado ao longo de todo o projeto.</t>
  </si>
  <si>
    <t xml:space="preserve">Casos automatizados (Cypress)</t>
  </si>
  <si>
    <t xml:space="preserve">Percentual de automação do plano</t>
  </si>
</sst>
</file>

<file path=xl/styles.xml><?xml version="1.0" encoding="utf-8"?>
<styleSheet xmlns="http://schemas.openxmlformats.org/spreadsheetml/2006/main">
  <numFmts count="3">
    <numFmt numFmtId="164" formatCode="General"/>
    <numFmt numFmtId="165" formatCode="General"/>
    <numFmt numFmtId="166" formatCode="0.0%"/>
  </numFmts>
  <fonts count="14">
    <font>
      <sz val="11"/>
      <color theme="1"/>
      <name val="Calibri"/>
      <family val="2"/>
      <charset val="1"/>
    </font>
    <font>
      <sz val="10"/>
      <name val="Arial"/>
      <family val="0"/>
    </font>
    <font>
      <sz val="10"/>
      <name val="Arial"/>
      <family val="0"/>
    </font>
    <font>
      <sz val="10"/>
      <name val="Arial"/>
      <family val="0"/>
    </font>
    <font>
      <b val="true"/>
      <sz val="18"/>
      <color rgb="FF26215C"/>
      <name val="Arial"/>
      <family val="0"/>
      <charset val="1"/>
    </font>
    <font>
      <i val="true"/>
      <sz val="10"/>
      <color rgb="FF5F5E5A"/>
      <name val="Arial"/>
      <family val="0"/>
      <charset val="1"/>
    </font>
    <font>
      <sz val="10"/>
      <name val="Arial"/>
      <family val="0"/>
      <charset val="1"/>
    </font>
    <font>
      <b val="true"/>
      <sz val="12"/>
      <color rgb="FF26215C"/>
      <name val="Arial"/>
      <family val="0"/>
      <charset val="1"/>
    </font>
    <font>
      <b val="true"/>
      <sz val="10"/>
      <color rgb="FFFFFFFF"/>
      <name val="Arial"/>
      <family val="0"/>
      <charset val="1"/>
    </font>
    <font>
      <b val="true"/>
      <sz val="10"/>
      <color rgb="FF27500A"/>
      <name val="Arial"/>
      <family val="0"/>
      <charset val="1"/>
    </font>
    <font>
      <b val="true"/>
      <sz val="10"/>
      <name val="Arial"/>
      <family val="0"/>
      <charset val="1"/>
    </font>
    <font>
      <i val="true"/>
      <sz val="10"/>
      <name val="Arial"/>
      <family val="0"/>
      <charset val="1"/>
    </font>
    <font>
      <b val="true"/>
      <sz val="14"/>
      <color rgb="FF26215C"/>
      <name val="Arial"/>
      <family val="0"/>
      <charset val="1"/>
    </font>
    <font>
      <b val="true"/>
      <sz val="11"/>
      <color rgb="FF26215C"/>
      <name val="Arial"/>
      <family val="0"/>
      <charset val="1"/>
    </font>
  </fonts>
  <fills count="6">
    <fill>
      <patternFill patternType="none"/>
    </fill>
    <fill>
      <patternFill patternType="gray125"/>
    </fill>
    <fill>
      <patternFill patternType="solid">
        <fgColor rgb="FF3465A4"/>
        <bgColor rgb="FF1F4E8C"/>
      </patternFill>
    </fill>
    <fill>
      <patternFill patternType="solid">
        <fgColor rgb="FFEAF3DE"/>
        <bgColor rgb="FFF3F2EE"/>
      </patternFill>
    </fill>
    <fill>
      <patternFill patternType="solid">
        <fgColor rgb="FFFFFFFF"/>
        <bgColor rgb="FFF3F2EE"/>
      </patternFill>
    </fill>
    <fill>
      <patternFill patternType="solid">
        <fgColor rgb="FFF3F2EE"/>
        <bgColor rgb="FFEAF3DE"/>
      </patternFill>
    </fill>
  </fills>
  <borders count="2">
    <border diagonalUp="false" diagonalDown="false">
      <left/>
      <right/>
      <top/>
      <bottom/>
      <diagonal/>
    </border>
    <border diagonalUp="false" diagonalDown="false">
      <left style="thin">
        <color rgb="FFD3D1C7"/>
      </left>
      <right style="thin">
        <color rgb="FFD3D1C7"/>
      </right>
      <top style="thin">
        <color rgb="FFD3D1C7"/>
      </top>
      <bottom style="thin">
        <color rgb="FFD3D1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27500A"/>
        <sz val="10"/>
      </font>
      <fill>
        <patternFill>
          <bgColor rgb="FFEAF3DE"/>
        </patternFill>
      </fill>
    </dxf>
    <dxf>
      <font>
        <name val="Arial"/>
        <charset val="1"/>
        <family val="0"/>
        <b val="1"/>
        <color rgb="FF1F4E8C"/>
        <sz val="10"/>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3D1C7"/>
      <rgbColor rgb="FF808080"/>
      <rgbColor rgb="FF9999FF"/>
      <rgbColor rgb="FF993366"/>
      <rgbColor rgb="FFEAF3DE"/>
      <rgbColor rgb="FFF3F2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465A4"/>
      <rgbColor rgb="FF33CCCC"/>
      <rgbColor rgb="FF99CC00"/>
      <rgbColor rgb="FFFFCC00"/>
      <rgbColor rgb="FFFF9900"/>
      <rgbColor rgb="FFFF6600"/>
      <rgbColor rgb="FF5F5E5A"/>
      <rgbColor rgb="FF969696"/>
      <rgbColor rgb="FF003366"/>
      <rgbColor rgb="FF339966"/>
      <rgbColor rgb="FF003300"/>
      <rgbColor rgb="FF27500A"/>
      <rgbColor rgb="FF993300"/>
      <rgbColor rgb="FF993366"/>
      <rgbColor rgb="FF1F4E8C"/>
      <rgbColor rgb="FF26215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selection pane="topLeft" activeCell="A27" activeCellId="0" sqref="A27"/>
    </sheetView>
  </sheetViews>
  <sheetFormatPr defaultColWidth="8.6796875" defaultRowHeight="15" zeroHeight="false" outlineLevelRow="0" outlineLevelCol="0"/>
  <cols>
    <col collapsed="false" customWidth="true" hidden="false" outlineLevel="0" max="1" min="1" style="1" width="90"/>
  </cols>
  <sheetData>
    <row r="1" customFormat="false" ht="21.7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15" hidden="false" customHeight="true" outlineLevel="0" collapsed="false">
      <c r="A5" s="4" t="s">
        <v>3</v>
      </c>
    </row>
    <row r="7" customFormat="false" ht="15" hidden="false" customHeight="true" outlineLevel="0" collapsed="false">
      <c r="A7" s="5"/>
    </row>
    <row r="8" customFormat="false" ht="15" hidden="false" customHeight="true" outlineLevel="0" collapsed="false">
      <c r="A8" s="6" t="s">
        <v>4</v>
      </c>
    </row>
    <row r="9" customFormat="false" ht="23.25" hidden="false" customHeight="true" outlineLevel="0" collapsed="false">
      <c r="A9" s="5" t="s">
        <v>5</v>
      </c>
    </row>
    <row r="10" customFormat="false" ht="23.25" hidden="false" customHeight="true" outlineLevel="0" collapsed="false">
      <c r="A10" s="5" t="s">
        <v>6</v>
      </c>
    </row>
    <row r="11" customFormat="false" ht="23.25" hidden="false" customHeight="true" outlineLevel="0" collapsed="false">
      <c r="A11" s="5" t="s">
        <v>7</v>
      </c>
    </row>
    <row r="12" customFormat="false" ht="15" hidden="false" customHeight="true" outlineLevel="0" collapsed="false">
      <c r="A12" s="5" t="s">
        <v>8</v>
      </c>
    </row>
    <row r="13" customFormat="false" ht="15" hidden="false" customHeight="true" outlineLevel="0" collapsed="false">
      <c r="A13" s="5"/>
    </row>
    <row r="14" customFormat="false" ht="15" hidden="false" customHeight="true" outlineLevel="0" collapsed="false">
      <c r="A14" s="6" t="s">
        <v>9</v>
      </c>
    </row>
    <row r="15" customFormat="false" ht="15" hidden="false" customHeight="true" outlineLevel="0" collapsed="false">
      <c r="A15" s="5" t="s">
        <v>10</v>
      </c>
    </row>
    <row r="16" customFormat="false" ht="15" hidden="false" customHeight="true" outlineLevel="0" collapsed="false">
      <c r="A16" s="5" t="s">
        <v>11</v>
      </c>
    </row>
    <row r="17" customFormat="false" ht="15" hidden="false" customHeight="true" outlineLevel="0" collapsed="false">
      <c r="A17" s="5" t="s">
        <v>12</v>
      </c>
    </row>
    <row r="18" customFormat="false" ht="15" hidden="false" customHeight="true" outlineLevel="0" collapsed="false">
      <c r="A18" s="5"/>
    </row>
    <row r="19" customFormat="false" ht="23.25" hidden="false" customHeight="true" outlineLevel="0" collapsed="false">
      <c r="A19" s="6" t="s">
        <v>13</v>
      </c>
    </row>
    <row r="20" customFormat="false" ht="23.25" hidden="false" customHeight="true" outlineLevel="0" collapsed="false">
      <c r="A20" s="5"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0" ySplit="1" topLeftCell="A2" activePane="bottomLeft" state="frozen"/>
      <selection pane="topLeft" activeCell="A1" activeCellId="0" sqref="A1"/>
      <selection pane="bottomLeft" activeCell="C10" activeCellId="0" sqref="C10"/>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8"/>
    <col collapsed="false" customWidth="true" hidden="false" outlineLevel="0" max="3" min="3" style="1" width="45"/>
    <col collapsed="false" customWidth="true" hidden="false" outlineLevel="0" max="4" min="4" style="1" width="55"/>
  </cols>
  <sheetData>
    <row r="1" customFormat="false" ht="15" hidden="false" customHeight="true" outlineLevel="0" collapsed="false">
      <c r="A1" s="7" t="s">
        <v>15</v>
      </c>
      <c r="B1" s="7" t="s">
        <v>16</v>
      </c>
      <c r="C1" s="7" t="s">
        <v>17</v>
      </c>
      <c r="D1" s="7" t="s">
        <v>18</v>
      </c>
    </row>
    <row r="2" customFormat="false" ht="34.5" hidden="false" customHeight="true" outlineLevel="0" collapsed="false">
      <c r="A2" s="8" t="s">
        <v>19</v>
      </c>
      <c r="B2" s="8" t="s">
        <v>20</v>
      </c>
      <c r="C2" s="8" t="s">
        <v>21</v>
      </c>
      <c r="D2" s="8" t="s">
        <v>22</v>
      </c>
    </row>
    <row r="3" customFormat="false" ht="23.25" hidden="false" customHeight="true" outlineLevel="0" collapsed="false">
      <c r="A3" s="8" t="s">
        <v>23</v>
      </c>
      <c r="B3" s="8" t="s">
        <v>24</v>
      </c>
      <c r="C3" s="8" t="s">
        <v>25</v>
      </c>
      <c r="D3" s="8" t="s">
        <v>26</v>
      </c>
    </row>
    <row r="4" customFormat="false" ht="34.5" hidden="false" customHeight="true" outlineLevel="0" collapsed="false">
      <c r="A4" s="8" t="s">
        <v>27</v>
      </c>
      <c r="B4" s="8" t="s">
        <v>28</v>
      </c>
      <c r="C4" s="8" t="s">
        <v>29</v>
      </c>
      <c r="D4" s="8" t="s">
        <v>30</v>
      </c>
    </row>
    <row r="5" customFormat="false" ht="34.5" hidden="false" customHeight="true" outlineLevel="0" collapsed="false">
      <c r="A5" s="8" t="s">
        <v>31</v>
      </c>
      <c r="B5" s="8" t="s">
        <v>32</v>
      </c>
      <c r="C5" s="8" t="s">
        <v>33</v>
      </c>
      <c r="D5" s="8" t="s">
        <v>34</v>
      </c>
    </row>
    <row r="6" customFormat="false" ht="34.5" hidden="false" customHeight="true" outlineLevel="0" collapsed="false">
      <c r="A6" s="8" t="s">
        <v>35</v>
      </c>
      <c r="B6" s="8" t="s">
        <v>36</v>
      </c>
      <c r="C6" s="8" t="s">
        <v>37</v>
      </c>
      <c r="D6" s="8" t="s">
        <v>38</v>
      </c>
    </row>
    <row r="7" customFormat="false" ht="45.75" hidden="false" customHeight="true" outlineLevel="0" collapsed="false">
      <c r="A7" s="8" t="s">
        <v>39</v>
      </c>
      <c r="B7" s="8" t="s">
        <v>40</v>
      </c>
      <c r="C7" s="8" t="s">
        <v>41</v>
      </c>
      <c r="D7" s="8" t="s">
        <v>42</v>
      </c>
    </row>
    <row r="8" customFormat="false" ht="34.5" hidden="false" customHeight="true" outlineLevel="0" collapsed="false">
      <c r="A8" s="8" t="s">
        <v>43</v>
      </c>
      <c r="B8" s="8" t="s">
        <v>44</v>
      </c>
      <c r="C8" s="8" t="s">
        <v>45</v>
      </c>
      <c r="D8" s="8" t="s">
        <v>46</v>
      </c>
    </row>
    <row r="9" customFormat="false" ht="34.5" hidden="false" customHeight="true" outlineLevel="0" collapsed="false">
      <c r="A9" s="8" t="s">
        <v>47</v>
      </c>
      <c r="B9" s="8" t="s">
        <v>48</v>
      </c>
      <c r="C9" s="8" t="s">
        <v>49</v>
      </c>
      <c r="D9" s="8"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0" ySplit="1" topLeftCell="A2" activePane="bottomLeft" state="frozen"/>
      <selection pane="topLeft" activeCell="A1" activeCellId="0" sqref="A1"/>
      <selection pane="bottomLeft" activeCell="F5" activeCellId="0" sqref="F5"/>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0"/>
    <col collapsed="false" customWidth="true" hidden="false" outlineLevel="0" max="3" min="3" style="1" width="10.87"/>
    <col collapsed="false" customWidth="true" hidden="false" outlineLevel="0" max="4" min="4" style="1" width="30.73"/>
    <col collapsed="false" customWidth="true" hidden="false" outlineLevel="0" max="5" min="5" style="1" width="33.39"/>
    <col collapsed="false" customWidth="true" hidden="false" outlineLevel="0" max="6" min="6" style="1" width="44.66"/>
    <col collapsed="false" customWidth="true" hidden="false" outlineLevel="0" max="7" min="7" style="1" width="41.04"/>
    <col collapsed="false" customWidth="true" hidden="false" outlineLevel="0" max="8" min="8" style="1" width="48.13"/>
    <col collapsed="false" customWidth="true" hidden="false" outlineLevel="0" max="9" min="9" style="1" width="14"/>
    <col collapsed="false" customWidth="true" hidden="false" outlineLevel="0" max="10" min="10" style="1" width="28"/>
    <col collapsed="false" customWidth="true" hidden="false" outlineLevel="0" max="11" min="11" style="1" width="12"/>
    <col collapsed="false" customWidth="true" hidden="false" outlineLevel="0" max="12" min="12" style="1" width="30"/>
  </cols>
  <sheetData>
    <row r="1" customFormat="false" ht="15" hidden="false" customHeight="true" outlineLevel="0" collapsed="false">
      <c r="A1" s="7" t="s">
        <v>15</v>
      </c>
      <c r="B1" s="7" t="s">
        <v>16</v>
      </c>
      <c r="C1" s="7" t="s">
        <v>51</v>
      </c>
      <c r="D1" s="7" t="s">
        <v>52</v>
      </c>
      <c r="E1" s="7" t="s">
        <v>53</v>
      </c>
      <c r="F1" s="7" t="s">
        <v>54</v>
      </c>
      <c r="G1" s="7" t="s">
        <v>55</v>
      </c>
      <c r="H1" s="7" t="s">
        <v>56</v>
      </c>
      <c r="I1" s="7" t="s">
        <v>57</v>
      </c>
      <c r="J1" s="7" t="s">
        <v>58</v>
      </c>
      <c r="K1" s="7" t="s">
        <v>59</v>
      </c>
      <c r="L1" s="7" t="s">
        <v>60</v>
      </c>
    </row>
    <row r="2" customFormat="false" ht="34.5" hidden="false" customHeight="true" outlineLevel="0" collapsed="false">
      <c r="A2" s="8" t="s">
        <v>61</v>
      </c>
      <c r="B2" s="8" t="s">
        <v>19</v>
      </c>
      <c r="C2" s="8" t="s">
        <v>62</v>
      </c>
      <c r="D2" s="8" t="s">
        <v>63</v>
      </c>
      <c r="E2" s="8" t="s">
        <v>64</v>
      </c>
      <c r="F2" s="8" t="s">
        <v>65</v>
      </c>
      <c r="G2" s="8" t="s">
        <v>66</v>
      </c>
      <c r="H2" s="8" t="s">
        <v>67</v>
      </c>
      <c r="I2" s="9" t="s">
        <v>68</v>
      </c>
      <c r="J2" s="8" t="s">
        <v>69</v>
      </c>
      <c r="K2" s="8" t="s">
        <v>70</v>
      </c>
      <c r="L2" s="8" t="s">
        <v>71</v>
      </c>
    </row>
    <row r="3" customFormat="false" ht="23.25" hidden="false" customHeight="true" outlineLevel="0" collapsed="false">
      <c r="A3" s="8" t="s">
        <v>72</v>
      </c>
      <c r="B3" s="8" t="s">
        <v>23</v>
      </c>
      <c r="C3" s="8" t="s">
        <v>62</v>
      </c>
      <c r="D3" s="8" t="s">
        <v>73</v>
      </c>
      <c r="E3" s="8" t="s">
        <v>74</v>
      </c>
      <c r="F3" s="8" t="s">
        <v>75</v>
      </c>
      <c r="G3" s="8" t="s">
        <v>76</v>
      </c>
      <c r="H3" s="8" t="s">
        <v>77</v>
      </c>
      <c r="I3" s="9" t="s">
        <v>68</v>
      </c>
      <c r="J3" s="8" t="s">
        <v>78</v>
      </c>
      <c r="K3" s="8" t="s">
        <v>70</v>
      </c>
      <c r="L3" s="8" t="s">
        <v>79</v>
      </c>
    </row>
    <row r="4" customFormat="false" ht="34.5" hidden="false" customHeight="true" outlineLevel="0" collapsed="false">
      <c r="A4" s="8" t="s">
        <v>80</v>
      </c>
      <c r="B4" s="8" t="s">
        <v>27</v>
      </c>
      <c r="C4" s="8" t="s">
        <v>62</v>
      </c>
      <c r="D4" s="8" t="s">
        <v>81</v>
      </c>
      <c r="E4" s="8" t="s">
        <v>82</v>
      </c>
      <c r="F4" s="8" t="s">
        <v>83</v>
      </c>
      <c r="G4" s="8" t="s">
        <v>84</v>
      </c>
      <c r="H4" s="8" t="s">
        <v>85</v>
      </c>
      <c r="I4" s="9" t="s">
        <v>68</v>
      </c>
      <c r="J4" s="8" t="s">
        <v>86</v>
      </c>
      <c r="K4" s="8" t="s">
        <v>70</v>
      </c>
      <c r="L4" s="8" t="s">
        <v>79</v>
      </c>
    </row>
    <row r="5" customFormat="false" ht="23.25" hidden="false" customHeight="true" outlineLevel="0" collapsed="false">
      <c r="A5" s="8" t="s">
        <v>87</v>
      </c>
      <c r="B5" s="8" t="s">
        <v>31</v>
      </c>
      <c r="C5" s="8" t="s">
        <v>62</v>
      </c>
      <c r="D5" s="8" t="s">
        <v>88</v>
      </c>
      <c r="E5" s="8" t="s">
        <v>82</v>
      </c>
      <c r="F5" s="8" t="s">
        <v>89</v>
      </c>
      <c r="G5" s="8" t="s">
        <v>90</v>
      </c>
      <c r="H5" s="8" t="s">
        <v>91</v>
      </c>
      <c r="I5" s="9" t="s">
        <v>68</v>
      </c>
      <c r="J5" s="8" t="s">
        <v>86</v>
      </c>
      <c r="K5" s="8" t="s">
        <v>70</v>
      </c>
      <c r="L5" s="8" t="s">
        <v>79</v>
      </c>
    </row>
    <row r="6" customFormat="false" ht="23.25" hidden="false" customHeight="true" outlineLevel="0" collapsed="false">
      <c r="A6" s="8" t="s">
        <v>92</v>
      </c>
      <c r="B6" s="8" t="s">
        <v>31</v>
      </c>
      <c r="C6" s="8" t="s">
        <v>62</v>
      </c>
      <c r="D6" s="8" t="s">
        <v>93</v>
      </c>
      <c r="E6" s="8" t="s">
        <v>94</v>
      </c>
      <c r="F6" s="8" t="s">
        <v>95</v>
      </c>
      <c r="G6" s="8" t="s">
        <v>96</v>
      </c>
      <c r="H6" s="8" t="s">
        <v>97</v>
      </c>
      <c r="I6" s="9" t="s">
        <v>68</v>
      </c>
      <c r="J6" s="8" t="s">
        <v>98</v>
      </c>
      <c r="K6" s="8" t="s">
        <v>70</v>
      </c>
      <c r="L6" s="8" t="s">
        <v>79</v>
      </c>
    </row>
    <row r="7" customFormat="false" ht="23.25" hidden="false" customHeight="true" outlineLevel="0" collapsed="false">
      <c r="A7" s="8" t="s">
        <v>99</v>
      </c>
      <c r="B7" s="8" t="s">
        <v>43</v>
      </c>
      <c r="C7" s="8" t="s">
        <v>62</v>
      </c>
      <c r="D7" s="8" t="s">
        <v>100</v>
      </c>
      <c r="E7" s="8" t="s">
        <v>101</v>
      </c>
      <c r="F7" s="8" t="s">
        <v>102</v>
      </c>
      <c r="G7" s="8" t="s">
        <v>103</v>
      </c>
      <c r="H7" s="8" t="s">
        <v>104</v>
      </c>
      <c r="I7" s="9" t="s">
        <v>68</v>
      </c>
      <c r="J7" s="8" t="s">
        <v>105</v>
      </c>
      <c r="K7" s="8" t="s">
        <v>106</v>
      </c>
      <c r="L7" s="8" t="s">
        <v>107</v>
      </c>
    </row>
    <row r="8" customFormat="false" ht="34.5" hidden="false" customHeight="true" outlineLevel="0" collapsed="false">
      <c r="A8" s="8" t="s">
        <v>108</v>
      </c>
      <c r="B8" s="8" t="s">
        <v>43</v>
      </c>
      <c r="C8" s="8" t="s">
        <v>62</v>
      </c>
      <c r="D8" s="8" t="s">
        <v>109</v>
      </c>
      <c r="E8" s="8" t="s">
        <v>110</v>
      </c>
      <c r="F8" s="8" t="s">
        <v>111</v>
      </c>
      <c r="G8" s="8" t="s">
        <v>112</v>
      </c>
      <c r="H8" s="8" t="s">
        <v>113</v>
      </c>
      <c r="I8" s="9" t="s">
        <v>68</v>
      </c>
      <c r="J8" s="8" t="s">
        <v>114</v>
      </c>
      <c r="K8" s="8" t="s">
        <v>106</v>
      </c>
      <c r="L8" s="8" t="s">
        <v>71</v>
      </c>
    </row>
    <row r="9" customFormat="false" ht="113.25" hidden="false" customHeight="true" outlineLevel="0" collapsed="false">
      <c r="A9" s="8" t="s">
        <v>115</v>
      </c>
      <c r="B9" s="8" t="s">
        <v>35</v>
      </c>
      <c r="C9" s="8" t="s">
        <v>62</v>
      </c>
      <c r="D9" s="8" t="s">
        <v>116</v>
      </c>
      <c r="E9" s="8" t="s">
        <v>117</v>
      </c>
      <c r="F9" s="8" t="s">
        <v>118</v>
      </c>
      <c r="G9" s="8" t="s">
        <v>119</v>
      </c>
      <c r="H9" s="8" t="s">
        <v>120</v>
      </c>
      <c r="I9" s="9" t="s">
        <v>68</v>
      </c>
      <c r="J9" s="8" t="s">
        <v>121</v>
      </c>
      <c r="K9" s="8" t="s">
        <v>122</v>
      </c>
      <c r="L9" s="8" t="s">
        <v>79</v>
      </c>
    </row>
    <row r="10" customFormat="false" ht="34.5" hidden="false" customHeight="true" outlineLevel="0" collapsed="false">
      <c r="A10" s="8" t="s">
        <v>123</v>
      </c>
      <c r="B10" s="8" t="s">
        <v>19</v>
      </c>
      <c r="C10" s="8" t="s">
        <v>62</v>
      </c>
      <c r="D10" s="8" t="s">
        <v>124</v>
      </c>
      <c r="E10" s="8" t="s">
        <v>125</v>
      </c>
      <c r="F10" s="8" t="s">
        <v>126</v>
      </c>
      <c r="G10" s="8" t="s">
        <v>127</v>
      </c>
      <c r="H10" s="8" t="s">
        <v>128</v>
      </c>
      <c r="I10" s="9" t="s">
        <v>68</v>
      </c>
      <c r="J10" s="8" t="s">
        <v>121</v>
      </c>
      <c r="K10" s="8" t="s">
        <v>122</v>
      </c>
      <c r="L10" s="8" t="s">
        <v>107</v>
      </c>
    </row>
    <row r="11" customFormat="false" ht="34.5" hidden="false" customHeight="true" outlineLevel="0" collapsed="false">
      <c r="A11" s="8" t="s">
        <v>129</v>
      </c>
      <c r="B11" s="8" t="s">
        <v>19</v>
      </c>
      <c r="C11" s="8" t="s">
        <v>62</v>
      </c>
      <c r="D11" s="8" t="s">
        <v>130</v>
      </c>
      <c r="E11" s="8" t="s">
        <v>125</v>
      </c>
      <c r="F11" s="8" t="s">
        <v>131</v>
      </c>
      <c r="G11" s="8" t="s">
        <v>132</v>
      </c>
      <c r="H11" s="8" t="s">
        <v>133</v>
      </c>
      <c r="I11" s="9" t="s">
        <v>68</v>
      </c>
      <c r="J11" s="8" t="s">
        <v>121</v>
      </c>
      <c r="K11" s="8" t="s">
        <v>122</v>
      </c>
      <c r="L11" s="8" t="s">
        <v>107</v>
      </c>
    </row>
    <row r="12" customFormat="false" ht="23.25" hidden="false" customHeight="true" outlineLevel="0" collapsed="false">
      <c r="A12" s="8" t="s">
        <v>134</v>
      </c>
      <c r="B12" s="8" t="s">
        <v>47</v>
      </c>
      <c r="C12" s="8" t="s">
        <v>135</v>
      </c>
      <c r="D12" s="8" t="s">
        <v>136</v>
      </c>
      <c r="E12" s="8" t="s">
        <v>137</v>
      </c>
      <c r="F12" s="8" t="s">
        <v>138</v>
      </c>
      <c r="G12" s="8" t="s">
        <v>139</v>
      </c>
      <c r="H12" s="8" t="s">
        <v>140</v>
      </c>
      <c r="I12" s="9" t="s">
        <v>68</v>
      </c>
      <c r="J12" s="8" t="s">
        <v>141</v>
      </c>
      <c r="K12" s="8" t="s">
        <v>142</v>
      </c>
      <c r="L12" s="8" t="s">
        <v>79</v>
      </c>
    </row>
    <row r="13" customFormat="false" ht="34.5" hidden="false" customHeight="true" outlineLevel="0" collapsed="false">
      <c r="A13" s="8" t="s">
        <v>143</v>
      </c>
      <c r="B13" s="8" t="s">
        <v>47</v>
      </c>
      <c r="C13" s="8" t="s">
        <v>135</v>
      </c>
      <c r="D13" s="8" t="s">
        <v>144</v>
      </c>
      <c r="E13" s="8" t="s">
        <v>145</v>
      </c>
      <c r="F13" s="8" t="s">
        <v>146</v>
      </c>
      <c r="G13" s="8" t="s">
        <v>147</v>
      </c>
      <c r="H13" s="8" t="s">
        <v>148</v>
      </c>
      <c r="I13" s="9" t="s">
        <v>68</v>
      </c>
      <c r="J13" s="8" t="s">
        <v>149</v>
      </c>
      <c r="K13" s="8" t="s">
        <v>142</v>
      </c>
      <c r="L13" s="8" t="s">
        <v>79</v>
      </c>
    </row>
    <row r="14" customFormat="false" ht="45.75" hidden="false" customHeight="true" outlineLevel="0" collapsed="false">
      <c r="A14" s="8" t="s">
        <v>150</v>
      </c>
      <c r="B14" s="8" t="s">
        <v>47</v>
      </c>
      <c r="C14" s="8" t="s">
        <v>135</v>
      </c>
      <c r="D14" s="8" t="s">
        <v>151</v>
      </c>
      <c r="E14" s="8" t="s">
        <v>152</v>
      </c>
      <c r="F14" s="8" t="s">
        <v>153</v>
      </c>
      <c r="G14" s="8" t="s">
        <v>154</v>
      </c>
      <c r="H14" s="8" t="s">
        <v>155</v>
      </c>
      <c r="I14" s="9" t="s">
        <v>68</v>
      </c>
      <c r="J14" s="8" t="s">
        <v>156</v>
      </c>
      <c r="K14" s="8" t="s">
        <v>157</v>
      </c>
      <c r="L14" s="8" t="s">
        <v>79</v>
      </c>
    </row>
    <row r="15" customFormat="false" ht="23.25" hidden="false" customHeight="true" outlineLevel="0" collapsed="false">
      <c r="A15" s="8" t="s">
        <v>158</v>
      </c>
      <c r="B15" s="8" t="s">
        <v>39</v>
      </c>
      <c r="C15" s="8" t="s">
        <v>135</v>
      </c>
      <c r="D15" s="8" t="s">
        <v>159</v>
      </c>
      <c r="E15" s="8" t="s">
        <v>160</v>
      </c>
      <c r="F15" s="8" t="s">
        <v>161</v>
      </c>
      <c r="G15" s="8" t="s">
        <v>162</v>
      </c>
      <c r="H15" s="8" t="s">
        <v>163</v>
      </c>
      <c r="I15" s="9" t="s">
        <v>68</v>
      </c>
      <c r="J15" s="8" t="s">
        <v>164</v>
      </c>
      <c r="K15" s="8" t="s">
        <v>165</v>
      </c>
      <c r="L15" s="8" t="s">
        <v>166</v>
      </c>
    </row>
    <row r="16" customFormat="false" ht="34.5" hidden="false" customHeight="true" outlineLevel="0" collapsed="false">
      <c r="A16" s="8" t="s">
        <v>167</v>
      </c>
      <c r="B16" s="8" t="s">
        <v>39</v>
      </c>
      <c r="C16" s="8" t="s">
        <v>135</v>
      </c>
      <c r="D16" s="8" t="s">
        <v>168</v>
      </c>
      <c r="E16" s="8" t="s">
        <v>169</v>
      </c>
      <c r="F16" s="8" t="s">
        <v>170</v>
      </c>
      <c r="G16" s="8" t="s">
        <v>171</v>
      </c>
      <c r="H16" s="8" t="s">
        <v>172</v>
      </c>
      <c r="I16" s="9" t="s">
        <v>68</v>
      </c>
      <c r="J16" s="8" t="s">
        <v>121</v>
      </c>
      <c r="K16" s="8" t="s">
        <v>122</v>
      </c>
      <c r="L16" s="8" t="s">
        <v>79</v>
      </c>
    </row>
    <row r="17" customFormat="false" ht="113.25" hidden="false" customHeight="true" outlineLevel="0" collapsed="false">
      <c r="A17" s="8" t="s">
        <v>173</v>
      </c>
      <c r="B17" s="8" t="s">
        <v>43</v>
      </c>
      <c r="C17" s="8" t="s">
        <v>62</v>
      </c>
      <c r="D17" s="8" t="s">
        <v>174</v>
      </c>
      <c r="E17" s="8" t="s">
        <v>175</v>
      </c>
      <c r="F17" s="8" t="s">
        <v>176</v>
      </c>
      <c r="G17" s="8" t="s">
        <v>177</v>
      </c>
      <c r="H17" s="8" t="s">
        <v>178</v>
      </c>
      <c r="I17" s="9" t="s">
        <v>179</v>
      </c>
      <c r="J17" s="8" t="s">
        <v>121</v>
      </c>
      <c r="K17" s="8" t="s">
        <v>122</v>
      </c>
      <c r="L17" s="8"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11"/>
    <col collapsed="false" customWidth="true" hidden="false" outlineLevel="0" max="4" min="4" style="0" width="46"/>
    <col collapsed="false" customWidth="true" hidden="false" outlineLevel="0" max="5" min="5" style="0" width="18"/>
    <col collapsed="false" customWidth="true" hidden="false" outlineLevel="0" max="6" min="6" style="0" width="15"/>
    <col collapsed="false" customWidth="true" hidden="false" outlineLevel="0" max="7" min="7" style="0" width="22"/>
  </cols>
  <sheetData>
    <row r="1" customFormat="false" ht="21.75" hidden="false" customHeight="true" outlineLevel="0" collapsed="false">
      <c r="A1" s="7" t="s">
        <v>15</v>
      </c>
      <c r="B1" s="7" t="s">
        <v>16</v>
      </c>
      <c r="C1" s="7" t="s">
        <v>180</v>
      </c>
      <c r="D1" s="7" t="s">
        <v>52</v>
      </c>
      <c r="E1" s="7" t="s">
        <v>51</v>
      </c>
      <c r="F1" s="7" t="s">
        <v>181</v>
      </c>
      <c r="G1" s="7" t="s">
        <v>57</v>
      </c>
    </row>
    <row r="2" customFormat="false" ht="15" hidden="false" customHeight="false" outlineLevel="0" collapsed="false">
      <c r="A2" s="10" t="str">
        <f aca="false">'Requisitos e Critérios'!A2</f>
        <v>RF01</v>
      </c>
      <c r="B2" s="11" t="str">
        <f aca="false">'Requisitos e Critérios'!B2</f>
        <v>Cadastro de contato</v>
      </c>
      <c r="C2" s="10" t="s">
        <v>61</v>
      </c>
      <c r="D2" s="11" t="str">
        <f aca="false">INDEX('Casos de Teste'!$D$2:$D$17,MATCH($C2,'Casos de Teste'!$A$2:$A$17,0))</f>
        <v>Criar contato com dados válidos</v>
      </c>
      <c r="E2" s="12" t="str">
        <f aca="false">INDEX('Casos de Teste'!$C$2:$C$17,MATCH($C2,'Casos de Teste'!$A$2:$A$17,0))</f>
        <v>API</v>
      </c>
      <c r="F2" s="12" t="str">
        <f aca="false">IF(ISNUMBER(SEARCH("Autom",INDEX('Casos de Teste'!$L$2:$L$17,MATCH($C2,'Casos de Teste'!$A$2:$A$17,0)))),"Automatizado","Manual")</f>
        <v>Automatizado</v>
      </c>
      <c r="G2" s="11" t="str">
        <f aca="false">INDEX('Casos de Teste'!$I$2:$I$17,MATCH($C2,'Casos de Teste'!$A$2:$A$17,0))</f>
        <v>Aprovado</v>
      </c>
    </row>
    <row r="3" customFormat="false" ht="23.85" hidden="false" customHeight="false" outlineLevel="0" collapsed="false">
      <c r="A3" s="10"/>
      <c r="B3" s="10"/>
      <c r="C3" s="10" t="s">
        <v>123</v>
      </c>
      <c r="D3" s="11" t="str">
        <f aca="false">INDEX('Casos de Teste'!$D$2:$D$17,MATCH($C3,'Casos de Teste'!$A$2:$A$17,0))</f>
        <v>Criar contato com e-mail em formato inválido (teste negativo)</v>
      </c>
      <c r="E3" s="12" t="str">
        <f aca="false">INDEX('Casos de Teste'!$C$2:$C$17,MATCH($C3,'Casos de Teste'!$A$2:$A$17,0))</f>
        <v>API</v>
      </c>
      <c r="F3" s="12" t="str">
        <f aca="false">IF(ISNUMBER(SEARCH("Autom",INDEX('Casos de Teste'!$L$2:$L$17,MATCH($C3,'Casos de Teste'!$A$2:$A$17,0)))),"Automatizado","Manual")</f>
        <v>Automatizado</v>
      </c>
      <c r="G3" s="11" t="str">
        <f aca="false">INDEX('Casos de Teste'!$I$2:$I$17,MATCH($C3,'Casos de Teste'!$A$2:$A$17,0))</f>
        <v>Aprovado</v>
      </c>
    </row>
    <row r="4" customFormat="false" ht="15" hidden="false" customHeight="false" outlineLevel="0" collapsed="false">
      <c r="A4" s="10"/>
      <c r="B4" s="10"/>
      <c r="C4" s="10" t="s">
        <v>129</v>
      </c>
      <c r="D4" s="11" t="str">
        <f aca="false">INDEX('Casos de Teste'!$D$2:$D$17,MATCH($C4,'Casos de Teste'!$A$2:$A$17,0))</f>
        <v>Criar contato sem campo obrigatório (teste negativo)</v>
      </c>
      <c r="E4" s="12" t="str">
        <f aca="false">INDEX('Casos de Teste'!$C$2:$C$17,MATCH($C4,'Casos de Teste'!$A$2:$A$17,0))</f>
        <v>API</v>
      </c>
      <c r="F4" s="12" t="str">
        <f aca="false">IF(ISNUMBER(SEARCH("Autom",INDEX('Casos de Teste'!$L$2:$L$17,MATCH($C4,'Casos de Teste'!$A$2:$A$17,0)))),"Automatizado","Manual")</f>
        <v>Automatizado</v>
      </c>
      <c r="G4" s="11" t="str">
        <f aca="false">INDEX('Casos de Teste'!$I$2:$I$17,MATCH($C4,'Casos de Teste'!$A$2:$A$17,0))</f>
        <v>Aprovado</v>
      </c>
    </row>
    <row r="5" customFormat="false" ht="15" hidden="false" customHeight="false" outlineLevel="0" collapsed="false">
      <c r="A5" s="13" t="str">
        <f aca="false">'Requisitos e Critérios'!A3</f>
        <v>RF02</v>
      </c>
      <c r="B5" s="14" t="str">
        <f aca="false">'Requisitos e Critérios'!B3</f>
        <v>Listagem de contatos</v>
      </c>
      <c r="C5" s="13" t="s">
        <v>72</v>
      </c>
      <c r="D5" s="14" t="str">
        <f aca="false">INDEX('Casos de Teste'!$D$2:$D$17,MATCH($C5,'Casos de Teste'!$A$2:$A$17,0))</f>
        <v>Listar contatos existentes</v>
      </c>
      <c r="E5" s="15" t="str">
        <f aca="false">INDEX('Casos de Teste'!$C$2:$C$17,MATCH($C5,'Casos de Teste'!$A$2:$A$17,0))</f>
        <v>API</v>
      </c>
      <c r="F5" s="15" t="str">
        <f aca="false">IF(ISNUMBER(SEARCH("Autom",INDEX('Casos de Teste'!$L$2:$L$17,MATCH($C5,'Casos de Teste'!$A$2:$A$17,0)))),"Automatizado","Manual")</f>
        <v>Manual</v>
      </c>
      <c r="G5" s="14" t="str">
        <f aca="false">INDEX('Casos de Teste'!$I$2:$I$17,MATCH($C5,'Casos de Teste'!$A$2:$A$17,0))</f>
        <v>Aprovado</v>
      </c>
    </row>
    <row r="6" customFormat="false" ht="15" hidden="false" customHeight="false" outlineLevel="0" collapsed="false">
      <c r="A6" s="10" t="str">
        <f aca="false">'Requisitos e Critérios'!A4</f>
        <v>RF03</v>
      </c>
      <c r="B6" s="11" t="str">
        <f aca="false">'Requisitos e Critérios'!B4</f>
        <v>Edição de contato</v>
      </c>
      <c r="C6" s="10" t="s">
        <v>80</v>
      </c>
      <c r="D6" s="11" t="str">
        <f aca="false">INDEX('Casos de Teste'!$D$2:$D$17,MATCH($C6,'Casos de Teste'!$A$2:$A$17,0))</f>
        <v>Editar contato existente com dados válidos</v>
      </c>
      <c r="E6" s="12" t="str">
        <f aca="false">INDEX('Casos de Teste'!$C$2:$C$17,MATCH($C6,'Casos de Teste'!$A$2:$A$17,0))</f>
        <v>API</v>
      </c>
      <c r="F6" s="12" t="str">
        <f aca="false">IF(ISNUMBER(SEARCH("Autom",INDEX('Casos de Teste'!$L$2:$L$17,MATCH($C6,'Casos de Teste'!$A$2:$A$17,0)))),"Automatizado","Manual")</f>
        <v>Manual</v>
      </c>
      <c r="G6" s="11" t="str">
        <f aca="false">INDEX('Casos de Teste'!$I$2:$I$17,MATCH($C6,'Casos de Teste'!$A$2:$A$17,0))</f>
        <v>Aprovado</v>
      </c>
    </row>
    <row r="7" customFormat="false" ht="15" hidden="false" customHeight="false" outlineLevel="0" collapsed="false">
      <c r="A7" s="13" t="str">
        <f aca="false">'Requisitos e Critérios'!A5</f>
        <v>RF04</v>
      </c>
      <c r="B7" s="14" t="str">
        <f aca="false">'Requisitos e Critérios'!B5</f>
        <v>Exclusão de contato</v>
      </c>
      <c r="C7" s="13" t="s">
        <v>87</v>
      </c>
      <c r="D7" s="14" t="str">
        <f aca="false">INDEX('Casos de Teste'!$D$2:$D$17,MATCH($C7,'Casos de Teste'!$A$2:$A$17,0))</f>
        <v>Excluir contato existente</v>
      </c>
      <c r="E7" s="15" t="str">
        <f aca="false">INDEX('Casos de Teste'!$C$2:$C$17,MATCH($C7,'Casos de Teste'!$A$2:$A$17,0))</f>
        <v>API</v>
      </c>
      <c r="F7" s="15" t="str">
        <f aca="false">IF(ISNUMBER(SEARCH("Autom",INDEX('Casos de Teste'!$L$2:$L$17,MATCH($C7,'Casos de Teste'!$A$2:$A$17,0)))),"Automatizado","Manual")</f>
        <v>Manual</v>
      </c>
      <c r="G7" s="14" t="str">
        <f aca="false">INDEX('Casos de Teste'!$I$2:$I$17,MATCH($C7,'Casos de Teste'!$A$2:$A$17,0))</f>
        <v>Aprovado</v>
      </c>
    </row>
    <row r="8" customFormat="false" ht="15" hidden="false" customHeight="false" outlineLevel="0" collapsed="false">
      <c r="A8" s="13"/>
      <c r="B8" s="13"/>
      <c r="C8" s="13" t="s">
        <v>92</v>
      </c>
      <c r="D8" s="14" t="str">
        <f aca="false">INDEX('Casos de Teste'!$D$2:$D$17,MATCH($C8,'Casos de Teste'!$A$2:$A$17,0))</f>
        <v>Excluir contato já excluído (teste negativo)</v>
      </c>
      <c r="E8" s="15" t="str">
        <f aca="false">INDEX('Casos de Teste'!$C$2:$C$17,MATCH($C8,'Casos de Teste'!$A$2:$A$17,0))</f>
        <v>API</v>
      </c>
      <c r="F8" s="15" t="str">
        <f aca="false">IF(ISNUMBER(SEARCH("Autom",INDEX('Casos de Teste'!$L$2:$L$17,MATCH($C8,'Casos de Teste'!$A$2:$A$17,0)))),"Automatizado","Manual")</f>
        <v>Manual</v>
      </c>
      <c r="G8" s="14" t="str">
        <f aca="false">INDEX('Casos de Teste'!$I$2:$I$17,MATCH($C8,'Casos de Teste'!$A$2:$A$17,0))</f>
        <v>Aprovado</v>
      </c>
    </row>
    <row r="9" customFormat="false" ht="23.85" hidden="false" customHeight="false" outlineLevel="0" collapsed="false">
      <c r="A9" s="10" t="str">
        <f aca="false">'Requisitos e Critérios'!A6</f>
        <v>RF05</v>
      </c>
      <c r="B9" s="11" t="str">
        <f aca="false">'Requisitos e Critérios'!B6</f>
        <v>Registro de usuário</v>
      </c>
      <c r="C9" s="10" t="s">
        <v>115</v>
      </c>
      <c r="D9" s="11" t="str">
        <f aca="false">INDEX('Casos de Teste'!$D$2:$D$17,MATCH($C9,'Casos de Teste'!$A$2:$A$17,0))</f>
        <v>Registrar usuário com e-mail já existente (teste negativo)</v>
      </c>
      <c r="E9" s="12" t="str">
        <f aca="false">INDEX('Casos de Teste'!$C$2:$C$17,MATCH($C9,'Casos de Teste'!$A$2:$A$17,0))</f>
        <v>API</v>
      </c>
      <c r="F9" s="12" t="str">
        <f aca="false">IF(ISNUMBER(SEARCH("Autom",INDEX('Casos de Teste'!$L$2:$L$17,MATCH($C9,'Casos de Teste'!$A$2:$A$17,0)))),"Automatizado","Manual")</f>
        <v>Manual</v>
      </c>
      <c r="G9" s="11" t="str">
        <f aca="false">INDEX('Casos de Teste'!$I$2:$I$17,MATCH($C9,'Casos de Teste'!$A$2:$A$17,0))</f>
        <v>Aprovado</v>
      </c>
    </row>
    <row r="10" customFormat="false" ht="15" hidden="false" customHeight="false" outlineLevel="0" collapsed="false">
      <c r="A10" s="13" t="str">
        <f aca="false">'Requisitos e Critérios'!A7</f>
        <v>RF06</v>
      </c>
      <c r="B10" s="14" t="str">
        <f aca="false">'Requisitos e Critérios'!B7</f>
        <v>Login</v>
      </c>
      <c r="C10" s="13" t="s">
        <v>158</v>
      </c>
      <c r="D10" s="14" t="str">
        <f aca="false">INDEX('Casos de Teste'!$D$2:$D$17,MATCH($C10,'Casos de Teste'!$A$2:$A$17,0))</f>
        <v>Login pela interface com credenciais válidas</v>
      </c>
      <c r="E10" s="15" t="str">
        <f aca="false">INDEX('Casos de Teste'!$C$2:$C$17,MATCH($C10,'Casos de Teste'!$A$2:$A$17,0))</f>
        <v>Funcional (interface)</v>
      </c>
      <c r="F10" s="15" t="str">
        <f aca="false">IF(ISNUMBER(SEARCH("Autom",INDEX('Casos de Teste'!$L$2:$L$17,MATCH($C10,'Casos de Teste'!$A$2:$A$17,0)))),"Automatizado","Manual")</f>
        <v>Automatizado</v>
      </c>
      <c r="G10" s="14" t="str">
        <f aca="false">INDEX('Casos de Teste'!$I$2:$I$17,MATCH($C10,'Casos de Teste'!$A$2:$A$17,0))</f>
        <v>Aprovado</v>
      </c>
    </row>
    <row r="11" customFormat="false" ht="23.85" hidden="false" customHeight="false" outlineLevel="0" collapsed="false">
      <c r="A11" s="13"/>
      <c r="B11" s="13"/>
      <c r="C11" s="13" t="s">
        <v>167</v>
      </c>
      <c r="D11" s="14" t="str">
        <f aca="false">INDEX('Casos de Teste'!$D$2:$D$17,MATCH($C11,'Casos de Teste'!$A$2:$A$17,0))</f>
        <v>Login pela interface com credenciais inválidas (teste negativo)</v>
      </c>
      <c r="E11" s="15" t="str">
        <f aca="false">INDEX('Casos de Teste'!$C$2:$C$17,MATCH($C11,'Casos de Teste'!$A$2:$A$17,0))</f>
        <v>Funcional (interface)</v>
      </c>
      <c r="F11" s="15" t="str">
        <f aca="false">IF(ISNUMBER(SEARCH("Autom",INDEX('Casos de Teste'!$L$2:$L$17,MATCH($C11,'Casos de Teste'!$A$2:$A$17,0)))),"Automatizado","Manual")</f>
        <v>Manual</v>
      </c>
      <c r="G11" s="14" t="str">
        <f aca="false">INDEX('Casos de Teste'!$I$2:$I$17,MATCH($C11,'Casos de Teste'!$A$2:$A$17,0))</f>
        <v>Aprovado</v>
      </c>
    </row>
    <row r="12" customFormat="false" ht="15" hidden="false" customHeight="false" outlineLevel="0" collapsed="false">
      <c r="A12" s="10" t="str">
        <f aca="false">'Requisitos e Critérios'!A8</f>
        <v>RF07</v>
      </c>
      <c r="B12" s="11" t="str">
        <f aca="false">'Requisitos e Critérios'!B8</f>
        <v>Proteção das rotas de contato</v>
      </c>
      <c r="C12" s="10" t="s">
        <v>99</v>
      </c>
      <c r="D12" s="11" t="str">
        <f aca="false">INDEX('Casos de Teste'!$D$2:$D$17,MATCH($C12,'Casos de Teste'!$A$2:$A$17,0))</f>
        <v>Acessar rota de contatos sem token (teste negativo)</v>
      </c>
      <c r="E12" s="12" t="str">
        <f aca="false">INDEX('Casos de Teste'!$C$2:$C$17,MATCH($C12,'Casos de Teste'!$A$2:$A$17,0))</f>
        <v>API</v>
      </c>
      <c r="F12" s="12" t="str">
        <f aca="false">IF(ISNUMBER(SEARCH("Autom",INDEX('Casos de Teste'!$L$2:$L$17,MATCH($C12,'Casos de Teste'!$A$2:$A$17,0)))),"Automatizado","Manual")</f>
        <v>Automatizado</v>
      </c>
      <c r="G12" s="11" t="str">
        <f aca="false">INDEX('Casos de Teste'!$I$2:$I$17,MATCH($C12,'Casos de Teste'!$A$2:$A$17,0))</f>
        <v>Aprovado</v>
      </c>
    </row>
    <row r="13" customFormat="false" ht="15" hidden="false" customHeight="false" outlineLevel="0" collapsed="false">
      <c r="A13" s="10"/>
      <c r="B13" s="10"/>
      <c r="C13" s="10" t="s">
        <v>108</v>
      </c>
      <c r="D13" s="11" t="str">
        <f aca="false">INDEX('Casos de Teste'!$D$2:$D$17,MATCH($C13,'Casos de Teste'!$A$2:$A$17,0))</f>
        <v>Acessar rota de contatos com token válido</v>
      </c>
      <c r="E13" s="12" t="str">
        <f aca="false">INDEX('Casos de Teste'!$C$2:$C$17,MATCH($C13,'Casos de Teste'!$A$2:$A$17,0))</f>
        <v>API</v>
      </c>
      <c r="F13" s="12" t="str">
        <f aca="false">IF(ISNUMBER(SEARCH("Autom",INDEX('Casos de Teste'!$L$2:$L$17,MATCH($C13,'Casos de Teste'!$A$2:$A$17,0)))),"Automatizado","Manual")</f>
        <v>Automatizado</v>
      </c>
      <c r="G13" s="11" t="str">
        <f aca="false">INDEX('Casos de Teste'!$I$2:$I$17,MATCH($C13,'Casos de Teste'!$A$2:$A$17,0))</f>
        <v>Aprovado</v>
      </c>
    </row>
    <row r="14" customFormat="false" ht="23.85" hidden="false" customHeight="false" outlineLevel="0" collapsed="false">
      <c r="A14" s="10"/>
      <c r="B14" s="10"/>
      <c r="C14" s="10" t="s">
        <v>173</v>
      </c>
      <c r="D14" s="11" t="str">
        <f aca="false">INDEX('Casos de Teste'!$D$2:$D$17,MATCH($C14,'Casos de Teste'!$A$2:$A$17,0))</f>
        <v>Acessar rota protegida com token inválido (proxy do teste de expiração)</v>
      </c>
      <c r="E14" s="12" t="str">
        <f aca="false">INDEX('Casos de Teste'!$C$2:$C$17,MATCH($C14,'Casos de Teste'!$A$2:$A$17,0))</f>
        <v>API</v>
      </c>
      <c r="F14" s="12" t="str">
        <f aca="false">IF(ISNUMBER(SEARCH("Autom",INDEX('Casos de Teste'!$L$2:$L$17,MATCH($C14,'Casos de Teste'!$A$2:$A$17,0)))),"Automatizado","Manual")</f>
        <v>Manual</v>
      </c>
      <c r="G14" s="11" t="str">
        <f aca="false">INDEX('Casos de Teste'!$I$2:$I$17,MATCH($C14,'Casos de Teste'!$A$2:$A$17,0))</f>
        <v>Aprovado (validação por equivalência de código)</v>
      </c>
    </row>
    <row r="15" customFormat="false" ht="15" hidden="false" customHeight="false" outlineLevel="0" collapsed="false">
      <c r="A15" s="13" t="str">
        <f aca="false">'Requisitos e Critérios'!A9</f>
        <v>RF08</v>
      </c>
      <c r="B15" s="14" t="str">
        <f aca="false">'Requisitos e Critérios'!B9</f>
        <v>Interface visual do sistema</v>
      </c>
      <c r="C15" s="13" t="s">
        <v>134</v>
      </c>
      <c r="D15" s="14" t="str">
        <f aca="false">INDEX('Casos de Teste'!$D$2:$D$17,MATCH($C15,'Casos de Teste'!$A$2:$A$17,0))</f>
        <v>Criar contato pelo formulário da interface</v>
      </c>
      <c r="E15" s="15" t="str">
        <f aca="false">INDEX('Casos de Teste'!$C$2:$C$17,MATCH($C15,'Casos de Teste'!$A$2:$A$17,0))</f>
        <v>Funcional (interface)</v>
      </c>
      <c r="F15" s="15" t="str">
        <f aca="false">IF(ISNUMBER(SEARCH("Autom",INDEX('Casos de Teste'!$L$2:$L$17,MATCH($C15,'Casos de Teste'!$A$2:$A$17,0)))),"Automatizado","Manual")</f>
        <v>Manual</v>
      </c>
      <c r="G15" s="14" t="str">
        <f aca="false">INDEX('Casos de Teste'!$I$2:$I$17,MATCH($C15,'Casos de Teste'!$A$2:$A$17,0))</f>
        <v>Aprovado</v>
      </c>
    </row>
    <row r="16" customFormat="false" ht="15" hidden="false" customHeight="false" outlineLevel="0" collapsed="false">
      <c r="A16" s="13"/>
      <c r="B16" s="13"/>
      <c r="C16" s="13" t="s">
        <v>143</v>
      </c>
      <c r="D16" s="14" t="str">
        <f aca="false">INDEX('Casos de Teste'!$D$2:$D$17,MATCH($C16,'Casos de Teste'!$A$2:$A$17,0))</f>
        <v>Excluir contato pela interface, com confirmação</v>
      </c>
      <c r="E16" s="15" t="str">
        <f aca="false">INDEX('Casos de Teste'!$C$2:$C$17,MATCH($C16,'Casos de Teste'!$A$2:$A$17,0))</f>
        <v>Funcional (interface)</v>
      </c>
      <c r="F16" s="15" t="str">
        <f aca="false">IF(ISNUMBER(SEARCH("Autom",INDEX('Casos de Teste'!$L$2:$L$17,MATCH($C16,'Casos de Teste'!$A$2:$A$17,0)))),"Automatizado","Manual")</f>
        <v>Manual</v>
      </c>
      <c r="G16" s="14" t="str">
        <f aca="false">INDEX('Casos de Teste'!$I$2:$I$17,MATCH($C16,'Casos de Teste'!$A$2:$A$17,0))</f>
        <v>Aprovado</v>
      </c>
    </row>
    <row r="17" customFormat="false" ht="15" hidden="false" customHeight="false" outlineLevel="0" collapsed="false">
      <c r="A17" s="13"/>
      <c r="B17" s="13"/>
      <c r="C17" s="13" t="s">
        <v>150</v>
      </c>
      <c r="D17" s="14" t="str">
        <f aca="false">INDEX('Casos de Teste'!$D$2:$D$17,MATCH($C17,'Casos de Teste'!$A$2:$A$17,0))</f>
        <v>Editar contato pela interface</v>
      </c>
      <c r="E17" s="15" t="str">
        <f aca="false">INDEX('Casos de Teste'!$C$2:$C$17,MATCH($C17,'Casos de Teste'!$A$2:$A$17,0))</f>
        <v>Funcional (interface)</v>
      </c>
      <c r="F17" s="15" t="str">
        <f aca="false">IF(ISNUMBER(SEARCH("Autom",INDEX('Casos de Teste'!$L$2:$L$17,MATCH($C17,'Casos de Teste'!$A$2:$A$17,0)))),"Automatizado","Manual")</f>
        <v>Manual</v>
      </c>
      <c r="G17" s="14" t="str">
        <f aca="false">INDEX('Casos de Teste'!$I$2:$I$17,MATCH($C17,'Casos de Teste'!$A$2:$A$17,0))</f>
        <v>Aprovado</v>
      </c>
    </row>
    <row r="19" customFormat="false" ht="15" hidden="false" customHeight="false" outlineLevel="0" collapsed="false">
      <c r="A19" s="16" t="s">
        <v>182</v>
      </c>
      <c r="B19" s="16"/>
      <c r="C19" s="16"/>
      <c r="D19" s="16"/>
      <c r="E19" s="17" t="str">
        <f aca="false">SUMPRODUCT(--(COUNTIF($A$2:$A$17,'Requisitos e Critérios'!$A$2:$A$9)&gt;0))&amp;" / 8"</f>
        <v>8 / 8</v>
      </c>
    </row>
    <row r="21" customFormat="false" ht="30" hidden="false" customHeight="true" outlineLevel="0" collapsed="false">
      <c r="A21" s="18" t="s">
        <v>183</v>
      </c>
      <c r="B21" s="18"/>
      <c r="C21" s="18"/>
      <c r="D21" s="18"/>
      <c r="E21" s="18"/>
      <c r="F21" s="18"/>
      <c r="G21" s="18"/>
    </row>
    <row r="22" customFormat="false" ht="30" hidden="false" customHeight="true" outlineLevel="0" collapsed="false">
      <c r="A22" s="19" t="s">
        <v>184</v>
      </c>
      <c r="B22" s="19"/>
      <c r="C22" s="19"/>
      <c r="D22" s="19"/>
      <c r="E22" s="19"/>
      <c r="F22" s="19"/>
      <c r="G22" s="19"/>
    </row>
    <row r="23" customFormat="false" ht="30" hidden="false" customHeight="true" outlineLevel="0" collapsed="false">
      <c r="A23" s="19" t="s">
        <v>185</v>
      </c>
      <c r="B23" s="19"/>
      <c r="C23" s="19"/>
      <c r="D23" s="19"/>
      <c r="E23" s="19"/>
      <c r="F23" s="19"/>
      <c r="G23" s="19"/>
    </row>
  </sheetData>
  <mergeCells count="14">
    <mergeCell ref="A2:A4"/>
    <mergeCell ref="B2:B4"/>
    <mergeCell ref="A7:A8"/>
    <mergeCell ref="B7:B8"/>
    <mergeCell ref="A10:A11"/>
    <mergeCell ref="B10:B11"/>
    <mergeCell ref="A12:A14"/>
    <mergeCell ref="B12:B14"/>
    <mergeCell ref="A15:A17"/>
    <mergeCell ref="B15:B17"/>
    <mergeCell ref="A19:D19"/>
    <mergeCell ref="A21:G21"/>
    <mergeCell ref="A22:G22"/>
    <mergeCell ref="A23:G23"/>
  </mergeCells>
  <conditionalFormatting sqref="G2:G17">
    <cfRule type="expression" priority="2" aboveAverage="0" equalAverage="0" bottom="0" percent="0" rank="0" text="" dxfId="0">
      <formula>LEFT($G2,8)="Aprovado"</formula>
    </cfRule>
  </conditionalFormatting>
  <conditionalFormatting sqref="F2:F17">
    <cfRule type="expression" priority="3" aboveAverage="0" equalAverage="0" bottom="0" percent="0" rank="0" text="" dxfId="1">
      <formula>$F2="Automatizado"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true" showOutlineSymbols="true" defaultGridColor="true" view="normal" topLeftCell="A1" colorId="64" zoomScale="120" zoomScaleNormal="120" zoomScalePageLayoutView="100" workbookViewId="0">
      <selection pane="topLeft" activeCell="G12" activeCellId="0" sqref="G12"/>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6"/>
  </cols>
  <sheetData>
    <row r="1" customFormat="false" ht="17.25" hidden="false" customHeight="true" outlineLevel="0" collapsed="false">
      <c r="A1" s="20" t="s">
        <v>186</v>
      </c>
    </row>
    <row r="2" customFormat="false" ht="15" hidden="false" customHeight="true" outlineLevel="0" collapsed="false">
      <c r="A2" s="3" t="s">
        <v>187</v>
      </c>
    </row>
    <row r="4" customFormat="false" ht="15" hidden="false" customHeight="true" outlineLevel="0" collapsed="false">
      <c r="A4" s="21" t="s">
        <v>188</v>
      </c>
      <c r="B4" s="22" t="n">
        <f aca="false">COUNTA('Casos de Teste'!A2:A17)</f>
        <v>16</v>
      </c>
    </row>
    <row r="5" customFormat="false" ht="15" hidden="false" customHeight="true" outlineLevel="0" collapsed="false">
      <c r="A5" s="21" t="s">
        <v>189</v>
      </c>
      <c r="B5" s="22" t="n">
        <f aca="false">COUNTIF('Casos de Teste'!I2:I17,"Aprovado*")</f>
        <v>16</v>
      </c>
    </row>
    <row r="6" customFormat="false" ht="15" hidden="false" customHeight="true" outlineLevel="0" collapsed="false">
      <c r="A6" s="21" t="s">
        <v>190</v>
      </c>
      <c r="B6" s="22" t="n">
        <f aca="false">COUNTIF('Casos de Teste'!I2:I17,"Reprovado")</f>
        <v>0</v>
      </c>
    </row>
    <row r="7" customFormat="false" ht="15" hidden="false" customHeight="true" outlineLevel="0" collapsed="false">
      <c r="A7" s="21" t="s">
        <v>191</v>
      </c>
      <c r="B7" s="22" t="n">
        <f aca="false">COUNTIF('Casos de Teste'!I2:I17,"Não executado")</f>
        <v>0</v>
      </c>
    </row>
    <row r="8" customFormat="false" ht="15" hidden="false" customHeight="true" outlineLevel="0" collapsed="false">
      <c r="A8" s="21" t="s">
        <v>192</v>
      </c>
      <c r="B8" s="23" t="n">
        <f aca="false">IFERROR(B5/(B5+B6),0)</f>
        <v>1</v>
      </c>
    </row>
    <row r="9" customFormat="false" ht="15" hidden="false" customHeight="true" outlineLevel="0" collapsed="false">
      <c r="A9" s="21" t="s">
        <v>193</v>
      </c>
      <c r="B9" s="23" t="n">
        <f aca="false">IFERROR((B5+B6)/B4,0)</f>
        <v>1</v>
      </c>
    </row>
    <row r="11" customFormat="false" ht="15" hidden="false" customHeight="true" outlineLevel="0" collapsed="false">
      <c r="A11" s="24" t="s">
        <v>194</v>
      </c>
    </row>
    <row r="12" customFormat="false" ht="60" hidden="false" customHeight="true" outlineLevel="0" collapsed="false">
      <c r="A12" s="25" t="s">
        <v>195</v>
      </c>
      <c r="B12" s="25"/>
      <c r="C12" s="25"/>
      <c r="D12" s="25"/>
      <c r="E12" s="25"/>
      <c r="F12" s="25"/>
    </row>
    <row r="14" customFormat="false" ht="15" hidden="false" customHeight="true" outlineLevel="0" collapsed="false">
      <c r="A14" s="21" t="s">
        <v>196</v>
      </c>
      <c r="B14" s="22" t="n">
        <f aca="false">COUNTIF('Casos de Teste'!L2:L17,"Automatizado*")</f>
        <v>6</v>
      </c>
    </row>
    <row r="15" customFormat="false" ht="15" hidden="false" customHeight="true" outlineLevel="0" collapsed="false">
      <c r="A15" s="21" t="s">
        <v>197</v>
      </c>
      <c r="B15" s="23" t="n">
        <f aca="false">IFERROR(B14/B4,0)</f>
        <v>0.375</v>
      </c>
    </row>
  </sheetData>
  <mergeCells count="1">
    <mergeCell ref="A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2026-09-07T13:40:36Z</dcterms:created>
  <dc:creator>openpyxl</dc:creator>
  <dc:description/>
  <dc:language>en-US</dc:language>
  <cp:lastModifiedBy/>
  <dcterms:modified xsi:type="dcterms:W3CDTF">2026-10-07T14:25:30Z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